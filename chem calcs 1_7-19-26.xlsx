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cau\OneDrive\Documents\Coding\chemcalc\"/>
    </mc:Choice>
  </mc:AlternateContent>
  <xr:revisionPtr revIDLastSave="0" documentId="13_ncr:1_{7CBEE08B-399F-4AEA-B42D-1A01B86CDECE}" xr6:coauthVersionLast="47" xr6:coauthVersionMax="47" xr10:uidLastSave="{00000000-0000-0000-0000-000000000000}"/>
  <bookViews>
    <workbookView xWindow="-98" yWindow="-98" windowWidth="21795" windowHeight="13875" xr2:uid="{081B2DEA-9886-4254-9D6D-A5D45EDDB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1" l="1"/>
  <c r="E33" i="1"/>
  <c r="D26" i="1"/>
  <c r="D13" i="1"/>
  <c r="D5" i="1"/>
</calcChain>
</file>

<file path=xl/sharedStrings.xml><?xml version="1.0" encoding="utf-8"?>
<sst xmlns="http://schemas.openxmlformats.org/spreadsheetml/2006/main" count="39" uniqueCount="29">
  <si>
    <t>Target PPM</t>
  </si>
  <si>
    <t>Bbls/Day</t>
  </si>
  <si>
    <t>Gals/Day</t>
  </si>
  <si>
    <t>Gals/Hr</t>
  </si>
  <si>
    <t>Gals/Min</t>
  </si>
  <si>
    <t>Dosage Calculation</t>
  </si>
  <si>
    <t>Line Displacement Volume</t>
  </si>
  <si>
    <t>Diameter (in)</t>
  </si>
  <si>
    <t>Line Length (ft)</t>
  </si>
  <si>
    <t>Line Length (miles)</t>
  </si>
  <si>
    <t>Line Length (Km)</t>
  </si>
  <si>
    <t>Line Diameter (in)</t>
  </si>
  <si>
    <t>Line Diameter (mm)</t>
  </si>
  <si>
    <t>Displacement Volume (Bbls)</t>
  </si>
  <si>
    <t>Displacement Volume (Gals)</t>
  </si>
  <si>
    <r>
      <t>Displacement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</si>
  <si>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Units List</t>
  </si>
  <si>
    <t>Liquid Velocity</t>
  </si>
  <si>
    <t>Velocity (ft/sec)</t>
  </si>
  <si>
    <t>Velocity (m/sec)</t>
  </si>
  <si>
    <t>Gas Velocity</t>
  </si>
  <si>
    <t>Gas Rate (MCFD)</t>
  </si>
  <si>
    <t>Gas Rate (MMCFD)</t>
  </si>
  <si>
    <r>
      <t>Gas Rate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/Day)</t>
    </r>
  </si>
  <si>
    <t>Line pressure (psig)</t>
  </si>
  <si>
    <t>mg/L to Lbs/Day</t>
  </si>
  <si>
    <t>Ion mg/L</t>
  </si>
  <si>
    <t>Volume (Bbls/Day)</t>
  </si>
  <si>
    <t>Ion Lbs/Day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</si>
</sst>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92AA-3B19-4D24-8B26-5AA26B3A0CAE}">
  <dimension ref="A3:M40"/>
  <sheetViews>
    <sheetView tabSelected="1" workbookViewId="0">
      <selection activeCell="C41" sqref="C41"/>
    </sheetView>
  </sheetViews>
  <sheetFormatPr defaultRowHeight="14.25" x14ac:dyDescent="0.45"/>
  <cols>
    <col min="1" max="1" width="21.6640625" bestFit="1" customWidth="1"/>
    <col min="2" max="2" width="14" bestFit="1" customWidth="1"/>
    <col min="3" max="3" width="15.19921875" bestFit="1" customWidth="1"/>
    <col min="4" max="4" width="23" bestFit="1" customWidth="1"/>
    <col min="10" max="10" width="23.1328125" bestFit="1" customWidth="1"/>
  </cols>
  <sheetData>
    <row r="3" spans="1:13" x14ac:dyDescent="0.45">
      <c r="J3" t="s">
        <v>16</v>
      </c>
    </row>
    <row r="4" spans="1:13" x14ac:dyDescent="0.45">
      <c r="A4" t="s">
        <v>5</v>
      </c>
      <c r="B4" t="s">
        <v>0</v>
      </c>
      <c r="C4" t="s">
        <v>1</v>
      </c>
      <c r="D4" t="s">
        <v>4</v>
      </c>
      <c r="J4" t="s">
        <v>2</v>
      </c>
    </row>
    <row r="5" spans="1:13" x14ac:dyDescent="0.45">
      <c r="B5">
        <v>238</v>
      </c>
      <c r="C5">
        <v>144000</v>
      </c>
      <c r="D5">
        <f>IF(D4="Gals/Day",B5/1000000*C5*42,0)+IF(D4="Gals/Hr",B5/1000000*C5*42/24,0)+IF(D4="Gals/Min",B5/1000000*C5*42/1440,0)</f>
        <v>0.99959999999999993</v>
      </c>
      <c r="J5" t="s">
        <v>3</v>
      </c>
    </row>
    <row r="6" spans="1:13" x14ac:dyDescent="0.45">
      <c r="J6" t="s">
        <v>4</v>
      </c>
    </row>
    <row r="7" spans="1:13" s="2" customFormat="1" x14ac:dyDescent="0.45"/>
    <row r="8" spans="1:13" s="2" customForma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s="2" customFormat="1" x14ac:dyDescent="0.45"/>
    <row r="11" spans="1:13" x14ac:dyDescent="0.45">
      <c r="J11" t="s">
        <v>16</v>
      </c>
    </row>
    <row r="12" spans="1:13" x14ac:dyDescent="0.45">
      <c r="A12" t="s">
        <v>6</v>
      </c>
      <c r="B12" t="s">
        <v>7</v>
      </c>
      <c r="C12" t="s">
        <v>8</v>
      </c>
      <c r="D12" t="s">
        <v>13</v>
      </c>
      <c r="J12" t="s">
        <v>11</v>
      </c>
    </row>
    <row r="13" spans="1:13" x14ac:dyDescent="0.45">
      <c r="B13">
        <v>12</v>
      </c>
      <c r="C13">
        <v>5280</v>
      </c>
      <c r="D13">
        <f>((B13/24)^2)*C13*7.4805/42*PI()</f>
        <v>738.5929208484655</v>
      </c>
      <c r="J13" t="s">
        <v>12</v>
      </c>
    </row>
    <row r="15" spans="1:13" x14ac:dyDescent="0.45">
      <c r="J15" t="s">
        <v>8</v>
      </c>
    </row>
    <row r="16" spans="1:13" x14ac:dyDescent="0.45">
      <c r="J16" t="s">
        <v>9</v>
      </c>
    </row>
    <row r="17" spans="1:12" x14ac:dyDescent="0.45">
      <c r="J17" t="s">
        <v>10</v>
      </c>
    </row>
    <row r="19" spans="1:12" x14ac:dyDescent="0.45">
      <c r="J19" t="s">
        <v>13</v>
      </c>
    </row>
    <row r="20" spans="1:12" ht="15.75" x14ac:dyDescent="0.45">
      <c r="J20" t="s">
        <v>15</v>
      </c>
    </row>
    <row r="21" spans="1:12" x14ac:dyDescent="0.45">
      <c r="J21" t="s">
        <v>14</v>
      </c>
    </row>
    <row r="23" spans="1:12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5" spans="1:12" x14ac:dyDescent="0.45">
      <c r="A25" t="s">
        <v>17</v>
      </c>
      <c r="B25" t="s">
        <v>1</v>
      </c>
      <c r="C25" t="s">
        <v>7</v>
      </c>
      <c r="D25" t="s">
        <v>18</v>
      </c>
      <c r="J25" t="s">
        <v>18</v>
      </c>
    </row>
    <row r="26" spans="1:12" x14ac:dyDescent="0.45">
      <c r="B26">
        <v>500000</v>
      </c>
      <c r="C26">
        <v>12</v>
      </c>
      <c r="D26">
        <f>(B26*5.61458931)/(86400*PI()*((C26/24)^2))</f>
        <v>41.369890838769166</v>
      </c>
      <c r="J26" t="s">
        <v>19</v>
      </c>
    </row>
    <row r="29" spans="1:12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2" spans="1:12" x14ac:dyDescent="0.45">
      <c r="A32" t="s">
        <v>20</v>
      </c>
      <c r="B32" t="s">
        <v>21</v>
      </c>
      <c r="C32" t="s">
        <v>7</v>
      </c>
      <c r="D32" t="s">
        <v>24</v>
      </c>
      <c r="E32" t="s">
        <v>18</v>
      </c>
      <c r="J32" t="s">
        <v>21</v>
      </c>
    </row>
    <row r="33" spans="1:12" x14ac:dyDescent="0.45">
      <c r="B33">
        <v>500</v>
      </c>
      <c r="C33">
        <v>8</v>
      </c>
      <c r="D33">
        <v>105.3</v>
      </c>
      <c r="E33">
        <f>(B33*477)/((D33+14.7)*3060*((C33/24)^2)*PI())</f>
        <v>1.8607085258537763</v>
      </c>
      <c r="J33" t="s">
        <v>22</v>
      </c>
    </row>
    <row r="34" spans="1:12" ht="15.75" x14ac:dyDescent="0.45">
      <c r="J34" t="s">
        <v>23</v>
      </c>
    </row>
    <row r="37" spans="1:12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9" spans="1:12" x14ac:dyDescent="0.45">
      <c r="A39" t="s">
        <v>25</v>
      </c>
      <c r="B39" t="s">
        <v>26</v>
      </c>
      <c r="C39" t="s">
        <v>27</v>
      </c>
      <c r="D39" t="s">
        <v>28</v>
      </c>
    </row>
    <row r="40" spans="1:12" x14ac:dyDescent="0.45">
      <c r="B40">
        <v>40</v>
      </c>
      <c r="C40">
        <v>2000</v>
      </c>
      <c r="D40">
        <f>B40*C40*0.00035</f>
        <v>28</v>
      </c>
    </row>
  </sheetData>
  <dataValidations count="6">
    <dataValidation type="list" allowBlank="1" showInputMessage="1" showErrorMessage="1" sqref="D4" xr:uid="{6EB43C86-F6E7-41D6-A357-81D443D40B2B}">
      <formula1>$J$4:$J$6</formula1>
    </dataValidation>
    <dataValidation type="list" allowBlank="1" showInputMessage="1" showErrorMessage="1" sqref="B12" xr:uid="{3268378C-D80C-4654-ACC7-F395550A5267}">
      <formula1>$J$12:$J$13</formula1>
    </dataValidation>
    <dataValidation type="list" allowBlank="1" showInputMessage="1" showErrorMessage="1" sqref="C12" xr:uid="{1A342CD2-AA59-40F7-92F2-C8345DAD4A2C}">
      <formula1>$J$15:$J$17</formula1>
    </dataValidation>
    <dataValidation type="list" allowBlank="1" showInputMessage="1" showErrorMessage="1" sqref="D12" xr:uid="{FE079B19-119F-477F-81CE-D667785730F6}">
      <formula1>$J$19:$J$21</formula1>
    </dataValidation>
    <dataValidation type="list" allowBlank="1" showInputMessage="1" showErrorMessage="1" sqref="D25" xr:uid="{6C862E4F-7F20-4438-A47A-5B9A945645D1}">
      <formula1>$J$25:$J$26</formula1>
    </dataValidation>
    <dataValidation type="list" allowBlank="1" showInputMessage="1" showErrorMessage="1" sqref="B32" xr:uid="{1195DAD9-5D8E-4DDA-AFBE-990FDA9215B8}">
      <formula1>$J$32:$J$34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Caudle</dc:creator>
  <cp:lastModifiedBy>Robert Caudle</cp:lastModifiedBy>
  <dcterms:created xsi:type="dcterms:W3CDTF">2026-07-20T00:58:07Z</dcterms:created>
  <dcterms:modified xsi:type="dcterms:W3CDTF">2026-07-20T01:57:27Z</dcterms:modified>
</cp:coreProperties>
</file>